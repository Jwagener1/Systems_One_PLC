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G_Tech\My PC (LAPTOP-Q52UQIKF)\Documents\POSAL\Projekti\System One\Conveyor System\Bex Cape Town\"/>
    </mc:Choice>
  </mc:AlternateContent>
  <xr:revisionPtr revIDLastSave="0" documentId="13_ncr:1_{4314336E-F033-4982-BD79-26B80553BD37}" xr6:coauthVersionLast="47" xr6:coauthVersionMax="47" xr10:uidLastSave="{00000000-0000-0000-0000-000000000000}"/>
  <bookViews>
    <workbookView xWindow="-108" yWindow="-108" windowWidth="23256" windowHeight="12576" firstSheet="1" activeTab="2" xr2:uid="{26C3D25E-150B-4364-91A2-CB1CB48A8E3B}"/>
  </bookViews>
  <sheets>
    <sheet name="Motors &amp; Instrument List " sheetId="9" r:id="rId1"/>
    <sheet name="Digital Inputs" sheetId="6" r:id="rId2"/>
    <sheet name="Digital Outputs" sheetId="7" r:id="rId3"/>
    <sheet name="Analog Inputs" sheetId="1" r:id="rId4"/>
    <sheet name="Analog Overload" sheetId="8" r:id="rId5"/>
    <sheet name="INTERNAL BITS" sheetId="10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9" l="1"/>
  <c r="D28" i="9"/>
</calcChain>
</file>

<file path=xl/sharedStrings.xml><?xml version="1.0" encoding="utf-8"?>
<sst xmlns="http://schemas.openxmlformats.org/spreadsheetml/2006/main" count="322" uniqueCount="228">
  <si>
    <t>Input Desc:</t>
  </si>
  <si>
    <t>PLC Address:</t>
  </si>
  <si>
    <t>Wire No.:</t>
  </si>
  <si>
    <t>Description</t>
  </si>
  <si>
    <t>Eqp. No:</t>
  </si>
  <si>
    <t>Term. No.</t>
  </si>
  <si>
    <t>Eqp.  No:</t>
  </si>
  <si>
    <t>Com Voltages</t>
  </si>
  <si>
    <t>%IW0-100</t>
  </si>
  <si>
    <t>%IW0-101</t>
  </si>
  <si>
    <t>Analog Input - PLC      IW 0</t>
  </si>
  <si>
    <t>%I0.0</t>
  </si>
  <si>
    <t>%I0.1</t>
  </si>
  <si>
    <t>%I0.2</t>
  </si>
  <si>
    <t>%I0.3</t>
  </si>
  <si>
    <t>%I0.4</t>
  </si>
  <si>
    <t>%I0.5</t>
  </si>
  <si>
    <t>%I0.6</t>
  </si>
  <si>
    <t>%I0.7</t>
  </si>
  <si>
    <t>%I0.8</t>
  </si>
  <si>
    <t>I0-0</t>
  </si>
  <si>
    <t>I0-1</t>
  </si>
  <si>
    <t>I0-2</t>
  </si>
  <si>
    <t>I0-3</t>
  </si>
  <si>
    <t>I0-4</t>
  </si>
  <si>
    <t>I0-5</t>
  </si>
  <si>
    <t>I0-6</t>
  </si>
  <si>
    <t>I0-7</t>
  </si>
  <si>
    <t>I0-8</t>
  </si>
  <si>
    <t>%Q0.0</t>
  </si>
  <si>
    <t>Digital Output - DQ 0</t>
  </si>
  <si>
    <t>%Q0.1</t>
  </si>
  <si>
    <t>%Q0.2</t>
  </si>
  <si>
    <t>%Q0.3</t>
  </si>
  <si>
    <t>%Q0.4</t>
  </si>
  <si>
    <t>%Q0.5</t>
  </si>
  <si>
    <t>%Q0.6</t>
  </si>
  <si>
    <t>24 VDC</t>
  </si>
  <si>
    <t>0Q0-0</t>
  </si>
  <si>
    <t>0Q0-1</t>
  </si>
  <si>
    <t>0Q0-2</t>
  </si>
  <si>
    <t>0Q0-3</t>
  </si>
  <si>
    <t>0Q0-4</t>
  </si>
  <si>
    <t>0Q0-5</t>
  </si>
  <si>
    <t>0Q0-6</t>
  </si>
  <si>
    <t>Q0-0</t>
  </si>
  <si>
    <t>Q0-1</t>
  </si>
  <si>
    <t>Q0-2</t>
  </si>
  <si>
    <t>Q0-3</t>
  </si>
  <si>
    <t>Q0-4</t>
  </si>
  <si>
    <t>Q0-5</t>
  </si>
  <si>
    <t>Q0-6</t>
  </si>
  <si>
    <t xml:space="preserve">Digital Input - DI </t>
  </si>
  <si>
    <t>I0-9</t>
  </si>
  <si>
    <t>I0-10</t>
  </si>
  <si>
    <t>I0-11</t>
  </si>
  <si>
    <t>I0-12</t>
  </si>
  <si>
    <t>I0-13</t>
  </si>
  <si>
    <t>0Q0-7</t>
  </si>
  <si>
    <t>0Q0-8</t>
  </si>
  <si>
    <t>0Q0-9</t>
  </si>
  <si>
    <t>Q0-7</t>
  </si>
  <si>
    <t>Q0-8</t>
  </si>
  <si>
    <t>Q0-9</t>
  </si>
  <si>
    <t>%Q0.7</t>
  </si>
  <si>
    <t>%Q0.8</t>
  </si>
  <si>
    <t>%Q0.9</t>
  </si>
  <si>
    <t>%I0.9</t>
  </si>
  <si>
    <t>%I0.10</t>
  </si>
  <si>
    <t>%I0.11</t>
  </si>
  <si>
    <t>%I0.12</t>
  </si>
  <si>
    <t>%I0.13</t>
  </si>
  <si>
    <t>Motor No.</t>
  </si>
  <si>
    <t>DESCRIPTION</t>
  </si>
  <si>
    <t>Sensors</t>
  </si>
  <si>
    <t>Signal Type</t>
  </si>
  <si>
    <t>Motor Size (KW)</t>
  </si>
  <si>
    <t>Voltages:</t>
  </si>
  <si>
    <t>Starter Type</t>
  </si>
  <si>
    <t>Notes:</t>
  </si>
  <si>
    <t>Total:</t>
  </si>
  <si>
    <t>Analog Input - PLC      QW 0</t>
  </si>
  <si>
    <t>%QW0-200</t>
  </si>
  <si>
    <t>%QW0-201</t>
  </si>
  <si>
    <t xml:space="preserve">Client: </t>
  </si>
  <si>
    <t xml:space="preserve">Project:  </t>
  </si>
  <si>
    <t xml:space="preserve">Description: </t>
  </si>
  <si>
    <t>Conveyor system</t>
  </si>
  <si>
    <t xml:space="preserve">Motor &amp; Instrumentation List </t>
  </si>
  <si>
    <t>System One</t>
  </si>
  <si>
    <t>V.S.D</t>
  </si>
  <si>
    <t>M1</t>
  </si>
  <si>
    <t>M2</t>
  </si>
  <si>
    <t>Scale</t>
  </si>
  <si>
    <t>M3</t>
  </si>
  <si>
    <t>Gapper 1</t>
  </si>
  <si>
    <t>Gapper2</t>
  </si>
  <si>
    <t>Outfeed belt</t>
  </si>
  <si>
    <t>Scanner</t>
  </si>
  <si>
    <t>0.75</t>
  </si>
  <si>
    <t>0.55</t>
  </si>
  <si>
    <t>VSD</t>
  </si>
  <si>
    <t>Scanner station</t>
  </si>
  <si>
    <t>Beacon lamps</t>
  </si>
  <si>
    <t>PB/Lamps</t>
  </si>
  <si>
    <t>Siren</t>
  </si>
  <si>
    <t>E-stop</t>
  </si>
  <si>
    <t>%I0.14</t>
  </si>
  <si>
    <t>I0-14</t>
  </si>
  <si>
    <t>%I0.15</t>
  </si>
  <si>
    <t>I0-15</t>
  </si>
  <si>
    <t>%I0.16</t>
  </si>
  <si>
    <t>I0-16</t>
  </si>
  <si>
    <t>%I0.17</t>
  </si>
  <si>
    <t>I0-17</t>
  </si>
  <si>
    <t>%I0.18</t>
  </si>
  <si>
    <t>I0-18</t>
  </si>
  <si>
    <t>%I0.19</t>
  </si>
  <si>
    <t>I0-19</t>
  </si>
  <si>
    <t>%I0.20</t>
  </si>
  <si>
    <t>I0-20</t>
  </si>
  <si>
    <t>%I0.21</t>
  </si>
  <si>
    <t>I0-21</t>
  </si>
  <si>
    <t xml:space="preserve">Emergency Stop </t>
  </si>
  <si>
    <t>Push Button</t>
  </si>
  <si>
    <t xml:space="preserve">System Start </t>
  </si>
  <si>
    <t xml:space="preserve">System Stop </t>
  </si>
  <si>
    <t>Conveyor No.1 Running</t>
  </si>
  <si>
    <t>Conveyor No.2 Running</t>
  </si>
  <si>
    <t xml:space="preserve">Scale Running </t>
  </si>
  <si>
    <t xml:space="preserve">Conveyor No.3 Running </t>
  </si>
  <si>
    <t>%Q0.10</t>
  </si>
  <si>
    <t>%Q0.11</t>
  </si>
  <si>
    <t>%Q0.12</t>
  </si>
  <si>
    <t>%Q0.13</t>
  </si>
  <si>
    <t>%Q0.14</t>
  </si>
  <si>
    <t>%Q0.15</t>
  </si>
  <si>
    <t>0Q0-10</t>
  </si>
  <si>
    <t>0Q0-11</t>
  </si>
  <si>
    <t>0Q0-12</t>
  </si>
  <si>
    <t>0Q0-13</t>
  </si>
  <si>
    <t>0Q0-14</t>
  </si>
  <si>
    <t>0Q0-15</t>
  </si>
  <si>
    <t>Q0-10</t>
  </si>
  <si>
    <t>Q0-11</t>
  </si>
  <si>
    <t>Q0-12</t>
  </si>
  <si>
    <t>Q0-13</t>
  </si>
  <si>
    <t>Q0-14</t>
  </si>
  <si>
    <t>Q0-15</t>
  </si>
  <si>
    <t xml:space="preserve">Conveyor No.1 - Slow </t>
  </si>
  <si>
    <t xml:space="preserve">Conveyor No.2 - Slow </t>
  </si>
  <si>
    <t xml:space="preserve">Conveyor No.3 - Slow </t>
  </si>
  <si>
    <t xml:space="preserve">Scale - Slow </t>
  </si>
  <si>
    <t xml:space="preserve">Conveyor No.2 - ON/OFF Fast </t>
  </si>
  <si>
    <t xml:space="preserve">Scale - ON/OFF Fast </t>
  </si>
  <si>
    <t xml:space="preserve">Conveyor No.3 - ON/OFF Fast </t>
  </si>
  <si>
    <t xml:space="preserve">Alarm </t>
  </si>
  <si>
    <t>Buzzer</t>
  </si>
  <si>
    <t xml:space="preserve">System Running </t>
  </si>
  <si>
    <t>Green PL</t>
  </si>
  <si>
    <t>System Trip</t>
  </si>
  <si>
    <t>Red PL</t>
  </si>
  <si>
    <t xml:space="preserve">Conveyor No.1 Photo sensor </t>
  </si>
  <si>
    <t xml:space="preserve">Conveyor No.2 Photo sensor </t>
  </si>
  <si>
    <t xml:space="preserve">Scale No.1 Photo sensor </t>
  </si>
  <si>
    <t xml:space="preserve">Conveyor No.3 Photo sensor </t>
  </si>
  <si>
    <t xml:space="preserve">Scale No.1 FAULT </t>
  </si>
  <si>
    <t>Camera GOOD Read</t>
  </si>
  <si>
    <t>Camera BAD Read</t>
  </si>
  <si>
    <t>Scale Start/Stop</t>
  </si>
  <si>
    <t>Scale Control Box</t>
  </si>
  <si>
    <t>C1</t>
  </si>
  <si>
    <t>C2</t>
  </si>
  <si>
    <t>SC1</t>
  </si>
  <si>
    <t>SC!</t>
  </si>
  <si>
    <t>C3</t>
  </si>
  <si>
    <t>ES</t>
  </si>
  <si>
    <t>C1A</t>
  </si>
  <si>
    <t>C2A</t>
  </si>
  <si>
    <t>SC1A</t>
  </si>
  <si>
    <t>SC1B</t>
  </si>
  <si>
    <t>C3A</t>
  </si>
  <si>
    <t>%M-0</t>
  </si>
  <si>
    <t>%M-1</t>
  </si>
  <si>
    <t>%M-2</t>
  </si>
  <si>
    <t>%M-3</t>
  </si>
  <si>
    <t>%M-4</t>
  </si>
  <si>
    <t>%M-5</t>
  </si>
  <si>
    <t>%M-6</t>
  </si>
  <si>
    <t>%M-7</t>
  </si>
  <si>
    <t>%M-8</t>
  </si>
  <si>
    <t>%M-9</t>
  </si>
  <si>
    <t>%M-10</t>
  </si>
  <si>
    <t>%M-11</t>
  </si>
  <si>
    <t>%M-12</t>
  </si>
  <si>
    <t>%M-13</t>
  </si>
  <si>
    <t>%M-14</t>
  </si>
  <si>
    <t>%M-15</t>
  </si>
  <si>
    <t>%M-16</t>
  </si>
  <si>
    <t>%M-17</t>
  </si>
  <si>
    <t>%M-18</t>
  </si>
  <si>
    <t>%M-19</t>
  </si>
  <si>
    <t>%M-20</t>
  </si>
  <si>
    <t>%M-21</t>
  </si>
  <si>
    <t xml:space="preserve">Internal bits </t>
  </si>
  <si>
    <t>conveyor No. 1 TRIP</t>
  </si>
  <si>
    <t>conveyor No. 2 TRIP</t>
  </si>
  <si>
    <t>conveyor No. 3 TRIP</t>
  </si>
  <si>
    <t>Scale  No. 1 TRIP</t>
  </si>
  <si>
    <t>Scale No. 1 FAULT</t>
  </si>
  <si>
    <t>Tower Light Green</t>
  </si>
  <si>
    <t>Tower Light Red</t>
  </si>
  <si>
    <t>Good Reed</t>
  </si>
  <si>
    <t>Bad Reed</t>
  </si>
  <si>
    <t>%I0.22</t>
  </si>
  <si>
    <t>%I0.23</t>
  </si>
  <si>
    <t>I0-22</t>
  </si>
  <si>
    <t>I0-23</t>
  </si>
  <si>
    <t xml:space="preserve">Alarm Acknowledge  </t>
  </si>
  <si>
    <t>Alarm Reset</t>
  </si>
  <si>
    <t>Fan</t>
  </si>
  <si>
    <t xml:space="preserve">Conveyor No.1 </t>
  </si>
  <si>
    <t>X3 7+ 8-</t>
  </si>
  <si>
    <t>Conect with scale sensor X3:1</t>
  </si>
  <si>
    <t>X3 5(24+) 6 return signal</t>
  </si>
  <si>
    <t>Laser Reading</t>
  </si>
  <si>
    <t>Camera sensor</t>
  </si>
  <si>
    <t xml:space="preserve">Camera Trigger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</si>
</sst>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indent="1"/>
    </xf>
    <xf numFmtId="0" fontId="5" fillId="0" borderId="26" xfId="0" applyFont="1" applyBorder="1" applyAlignment="1">
      <alignment horizontal="right" vertical="center"/>
    </xf>
    <xf numFmtId="0" fontId="5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0" fillId="0" borderId="3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F680-B297-44A9-B37B-C8676D1BF61B}">
  <dimension ref="A1:I29"/>
  <sheetViews>
    <sheetView topLeftCell="A3" workbookViewId="0">
      <selection activeCell="A15" sqref="A15"/>
    </sheetView>
  </sheetViews>
  <sheetFormatPr defaultRowHeight="14.4" x14ac:dyDescent="0.3"/>
  <cols>
    <col min="1" max="1" width="23.44140625" customWidth="1"/>
    <col min="2" max="2" width="63" customWidth="1"/>
    <col min="3" max="3" width="21.44140625" customWidth="1"/>
    <col min="4" max="4" width="14.5546875" customWidth="1"/>
    <col min="5" max="5" width="18.88671875" customWidth="1"/>
    <col min="6" max="6" width="20.44140625" customWidth="1"/>
    <col min="7" max="7" width="13.44140625" customWidth="1"/>
    <col min="8" max="8" width="16.33203125" customWidth="1"/>
    <col min="9" max="9" width="35.88671875" customWidth="1"/>
  </cols>
  <sheetData>
    <row r="1" spans="1:9" ht="18" x14ac:dyDescent="0.3">
      <c r="A1" s="48" t="s">
        <v>84</v>
      </c>
      <c r="B1" s="48" t="s">
        <v>89</v>
      </c>
    </row>
    <row r="2" spans="1:9" ht="18" x14ac:dyDescent="0.3">
      <c r="A2" s="48" t="s">
        <v>85</v>
      </c>
      <c r="B2" s="48" t="s">
        <v>87</v>
      </c>
    </row>
    <row r="3" spans="1:9" ht="18" x14ac:dyDescent="0.3">
      <c r="A3" s="48" t="s">
        <v>86</v>
      </c>
      <c r="B3" s="48" t="s">
        <v>88</v>
      </c>
    </row>
    <row r="4" spans="1:9" ht="26.4" thickBot="1" x14ac:dyDescent="0.35">
      <c r="A4" s="46"/>
      <c r="B4" s="47"/>
    </row>
    <row r="5" spans="1:9" ht="30" customHeight="1" thickBot="1" x14ac:dyDescent="0.35">
      <c r="A5" s="40" t="s">
        <v>72</v>
      </c>
      <c r="B5" s="54" t="s">
        <v>73</v>
      </c>
      <c r="C5" s="55"/>
      <c r="D5" s="41" t="s">
        <v>74</v>
      </c>
      <c r="E5" s="41" t="s">
        <v>75</v>
      </c>
      <c r="F5" s="42" t="s">
        <v>76</v>
      </c>
      <c r="G5" s="43" t="s">
        <v>77</v>
      </c>
      <c r="H5" s="44" t="s">
        <v>78</v>
      </c>
      <c r="I5" s="45" t="s">
        <v>79</v>
      </c>
    </row>
    <row r="6" spans="1:9" ht="15.6" x14ac:dyDescent="0.3">
      <c r="A6" s="10" t="s">
        <v>91</v>
      </c>
      <c r="B6" s="11" t="s">
        <v>95</v>
      </c>
      <c r="C6" s="12"/>
      <c r="D6" s="13">
        <v>1</v>
      </c>
      <c r="E6" s="14"/>
      <c r="F6" s="13">
        <v>0.75</v>
      </c>
      <c r="G6" s="13">
        <v>400</v>
      </c>
      <c r="H6" s="13" t="s">
        <v>90</v>
      </c>
      <c r="I6" s="49"/>
    </row>
    <row r="7" spans="1:9" ht="15.6" x14ac:dyDescent="0.3">
      <c r="A7" s="15" t="s">
        <v>92</v>
      </c>
      <c r="B7" s="16" t="s">
        <v>96</v>
      </c>
      <c r="C7" s="17"/>
      <c r="D7" s="18">
        <v>1</v>
      </c>
      <c r="E7" s="19"/>
      <c r="F7" s="20" t="s">
        <v>99</v>
      </c>
      <c r="G7" s="20">
        <v>400</v>
      </c>
      <c r="H7" s="20" t="s">
        <v>90</v>
      </c>
      <c r="I7" s="50"/>
    </row>
    <row r="8" spans="1:9" ht="15.6" x14ac:dyDescent="0.3">
      <c r="A8" s="15" t="s">
        <v>93</v>
      </c>
      <c r="B8" s="16" t="s">
        <v>93</v>
      </c>
      <c r="C8" s="21"/>
      <c r="D8" s="18">
        <v>1</v>
      </c>
      <c r="E8" s="19"/>
      <c r="F8" s="22" t="s">
        <v>100</v>
      </c>
      <c r="G8" s="20">
        <v>400</v>
      </c>
      <c r="H8" s="20" t="s">
        <v>90</v>
      </c>
      <c r="I8" s="50"/>
    </row>
    <row r="9" spans="1:9" ht="15.6" x14ac:dyDescent="0.3">
      <c r="A9" s="15" t="s">
        <v>94</v>
      </c>
      <c r="B9" s="23" t="s">
        <v>97</v>
      </c>
      <c r="C9" s="17"/>
      <c r="D9" s="18">
        <v>1</v>
      </c>
      <c r="E9" s="19"/>
      <c r="F9" s="18" t="s">
        <v>99</v>
      </c>
      <c r="G9" s="20">
        <v>400</v>
      </c>
      <c r="H9" s="20" t="s">
        <v>90</v>
      </c>
      <c r="I9" s="50"/>
    </row>
    <row r="10" spans="1:9" ht="15.6" x14ac:dyDescent="0.3">
      <c r="A10" s="15" t="s">
        <v>98</v>
      </c>
      <c r="B10" s="23" t="s">
        <v>102</v>
      </c>
      <c r="C10" s="17"/>
      <c r="D10" s="18">
        <v>1</v>
      </c>
      <c r="E10" s="19"/>
      <c r="F10" s="20"/>
      <c r="G10" s="20">
        <v>220</v>
      </c>
      <c r="H10" s="20"/>
      <c r="I10" s="50"/>
    </row>
    <row r="11" spans="1:9" ht="15.6" x14ac:dyDescent="0.3">
      <c r="A11" s="15" t="s">
        <v>103</v>
      </c>
      <c r="B11" s="23"/>
      <c r="C11" s="17"/>
      <c r="D11" s="18"/>
      <c r="E11" s="19"/>
      <c r="F11" s="20"/>
      <c r="G11" s="20"/>
      <c r="H11" s="20"/>
      <c r="I11" s="50"/>
    </row>
    <row r="12" spans="1:9" ht="15.6" x14ac:dyDescent="0.3">
      <c r="A12" s="15" t="s">
        <v>104</v>
      </c>
      <c r="B12" s="23"/>
      <c r="C12" s="17"/>
      <c r="D12" s="18"/>
      <c r="E12" s="19"/>
      <c r="F12" s="20"/>
      <c r="G12" s="20"/>
      <c r="H12" s="20"/>
      <c r="I12" s="50"/>
    </row>
    <row r="13" spans="1:9" ht="15.6" x14ac:dyDescent="0.3">
      <c r="A13" s="15" t="s">
        <v>105</v>
      </c>
      <c r="B13" s="23"/>
      <c r="C13" s="17"/>
      <c r="D13" s="18"/>
      <c r="E13" s="19"/>
      <c r="F13" s="20"/>
      <c r="G13" s="20"/>
      <c r="H13" s="20"/>
      <c r="I13" s="50"/>
    </row>
    <row r="14" spans="1:9" ht="15.6" x14ac:dyDescent="0.3">
      <c r="A14" s="15" t="s">
        <v>106</v>
      </c>
      <c r="B14" s="23"/>
      <c r="C14" s="17"/>
      <c r="D14" s="18"/>
      <c r="E14" s="19"/>
      <c r="F14" s="20"/>
      <c r="G14" s="20"/>
      <c r="H14" s="20"/>
      <c r="I14" s="50"/>
    </row>
    <row r="15" spans="1:9" ht="15.6" x14ac:dyDescent="0.3">
      <c r="A15" s="15"/>
      <c r="B15" s="23"/>
      <c r="C15" s="17"/>
      <c r="D15" s="18"/>
      <c r="E15" s="19"/>
      <c r="F15" s="20"/>
      <c r="G15" s="20"/>
      <c r="H15" s="20"/>
      <c r="I15" s="50"/>
    </row>
    <row r="16" spans="1:9" ht="15.6" x14ac:dyDescent="0.3">
      <c r="A16" s="15"/>
      <c r="B16" s="23"/>
      <c r="C16" s="17"/>
      <c r="D16" s="18"/>
      <c r="E16" s="19"/>
      <c r="F16" s="20"/>
      <c r="G16" s="20"/>
      <c r="H16" s="20"/>
      <c r="I16" s="50"/>
    </row>
    <row r="17" spans="1:9" ht="15.6" x14ac:dyDescent="0.3">
      <c r="A17" s="15"/>
      <c r="B17" s="23"/>
      <c r="C17" s="17"/>
      <c r="D17" s="18"/>
      <c r="E17" s="19"/>
      <c r="F17" s="20"/>
      <c r="G17" s="20"/>
      <c r="H17" s="20"/>
      <c r="I17" s="50"/>
    </row>
    <row r="18" spans="1:9" ht="15.6" x14ac:dyDescent="0.3">
      <c r="A18" s="15"/>
      <c r="B18" s="23"/>
      <c r="C18" s="17"/>
      <c r="D18" s="18"/>
      <c r="E18" s="19"/>
      <c r="F18" s="20"/>
      <c r="G18" s="20"/>
      <c r="H18" s="20"/>
      <c r="I18" s="50"/>
    </row>
    <row r="19" spans="1:9" ht="15.6" x14ac:dyDescent="0.3">
      <c r="A19" s="24"/>
      <c r="B19" s="23"/>
      <c r="C19" s="25"/>
      <c r="D19" s="18"/>
      <c r="E19" s="19"/>
      <c r="F19" s="18"/>
      <c r="G19" s="18"/>
      <c r="H19" s="18"/>
      <c r="I19" s="51"/>
    </row>
    <row r="20" spans="1:9" ht="15.6" x14ac:dyDescent="0.3">
      <c r="A20" s="24"/>
      <c r="B20" s="23"/>
      <c r="C20" s="25"/>
      <c r="D20" s="18"/>
      <c r="E20" s="19"/>
      <c r="F20" s="18"/>
      <c r="G20" s="18"/>
      <c r="H20" s="18"/>
      <c r="I20" s="51"/>
    </row>
    <row r="21" spans="1:9" ht="15.6" x14ac:dyDescent="0.3">
      <c r="A21" s="24"/>
      <c r="B21" s="23"/>
      <c r="C21" s="25"/>
      <c r="D21" s="18"/>
      <c r="E21" s="18"/>
      <c r="F21" s="18"/>
      <c r="G21" s="18"/>
      <c r="H21" s="18"/>
      <c r="I21" s="51"/>
    </row>
    <row r="22" spans="1:9" ht="15.6" x14ac:dyDescent="0.3">
      <c r="A22" s="24"/>
      <c r="B22" s="23"/>
      <c r="C22" s="25"/>
      <c r="D22" s="18"/>
      <c r="E22" s="18"/>
      <c r="F22" s="18"/>
      <c r="G22" s="18"/>
      <c r="H22" s="18"/>
      <c r="I22" s="51"/>
    </row>
    <row r="23" spans="1:9" ht="15.6" x14ac:dyDescent="0.3">
      <c r="A23" s="24"/>
      <c r="B23" s="23"/>
      <c r="C23" s="25"/>
      <c r="D23" s="18"/>
      <c r="E23" s="26"/>
      <c r="F23" s="18"/>
      <c r="G23" s="18"/>
      <c r="H23" s="18"/>
      <c r="I23" s="51"/>
    </row>
    <row r="24" spans="1:9" ht="15.6" x14ac:dyDescent="0.3">
      <c r="A24" s="24"/>
      <c r="B24" s="23"/>
      <c r="C24" s="25"/>
      <c r="D24" s="18"/>
      <c r="E24" s="18"/>
      <c r="F24" s="18"/>
      <c r="G24" s="18"/>
      <c r="H24" s="18"/>
      <c r="I24" s="51"/>
    </row>
    <row r="25" spans="1:9" ht="15.6" x14ac:dyDescent="0.3">
      <c r="A25" s="24"/>
      <c r="B25" s="23"/>
      <c r="C25" s="25"/>
      <c r="D25" s="18"/>
      <c r="E25" s="18"/>
      <c r="F25" s="18"/>
      <c r="G25" s="18"/>
      <c r="H25" s="18"/>
      <c r="I25" s="52"/>
    </row>
    <row r="26" spans="1:9" ht="15.6" x14ac:dyDescent="0.3">
      <c r="A26" s="24"/>
      <c r="B26" s="23"/>
      <c r="C26" s="25"/>
      <c r="D26" s="18"/>
      <c r="E26" s="18"/>
      <c r="F26" s="18"/>
      <c r="G26" s="27"/>
      <c r="H26" s="27"/>
      <c r="I26" s="51"/>
    </row>
    <row r="27" spans="1:9" ht="16.2" thickBot="1" x14ac:dyDescent="0.35">
      <c r="A27" s="28"/>
      <c r="B27" s="29"/>
      <c r="C27" s="30"/>
      <c r="D27" s="31"/>
      <c r="E27" s="31"/>
      <c r="F27" s="31"/>
      <c r="G27" s="32"/>
      <c r="H27" s="32"/>
      <c r="I27" s="53"/>
    </row>
    <row r="28" spans="1:9" ht="24" thickBot="1" x14ac:dyDescent="0.35">
      <c r="A28" s="33"/>
      <c r="B28" s="34"/>
      <c r="C28" s="35" t="s">
        <v>80</v>
      </c>
      <c r="D28" s="35">
        <f>SUM(D6:D27)</f>
        <v>5</v>
      </c>
      <c r="E28" s="35"/>
      <c r="F28" s="35">
        <f>SUM(F6:F25)</f>
        <v>0.75</v>
      </c>
      <c r="G28" s="36"/>
      <c r="H28" s="56"/>
      <c r="I28" s="57"/>
    </row>
    <row r="29" spans="1:9" ht="21.6" thickBot="1" x14ac:dyDescent="0.35">
      <c r="A29" s="37"/>
      <c r="B29" s="38"/>
      <c r="C29" s="39"/>
      <c r="D29" s="37"/>
      <c r="E29" s="37"/>
      <c r="F29" s="37"/>
      <c r="G29" s="37"/>
      <c r="H29" s="56"/>
      <c r="I29" s="57"/>
    </row>
  </sheetData>
  <mergeCells count="3">
    <mergeCell ref="B5:C5"/>
    <mergeCell ref="H28:I28"/>
    <mergeCell ref="H29:I2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86E7-F21C-4F53-9ED9-CC7E69330C5B}">
  <dimension ref="A1:M28"/>
  <sheetViews>
    <sheetView topLeftCell="A7" zoomScaleNormal="100" workbookViewId="0">
      <selection activeCell="F25" sqref="F25:I25"/>
    </sheetView>
  </sheetViews>
  <sheetFormatPr defaultColWidth="8.88671875" defaultRowHeight="14.4" x14ac:dyDescent="0.3"/>
  <cols>
    <col min="2" max="2" width="10.109375" customWidth="1"/>
    <col min="5" max="5" width="12" customWidth="1"/>
    <col min="10" max="10" width="20.6640625" customWidth="1"/>
    <col min="11" max="11" width="15.5546875" customWidth="1"/>
  </cols>
  <sheetData>
    <row r="1" spans="1:13" ht="23.4" x14ac:dyDescent="0.45">
      <c r="A1" s="63" t="s">
        <v>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x14ac:dyDescent="0.3">
      <c r="E2" s="64" t="s">
        <v>6</v>
      </c>
      <c r="K2" s="64" t="s">
        <v>5</v>
      </c>
    </row>
    <row r="3" spans="1:13" ht="15.6" x14ac:dyDescent="0.3">
      <c r="A3" s="65" t="s">
        <v>1</v>
      </c>
      <c r="B3" s="65"/>
      <c r="C3" s="65" t="s">
        <v>2</v>
      </c>
      <c r="D3" s="65"/>
      <c r="E3" s="64"/>
      <c r="F3" s="65" t="s">
        <v>3</v>
      </c>
      <c r="G3" s="65"/>
      <c r="H3" s="65"/>
      <c r="I3" s="65"/>
      <c r="J3" s="65"/>
      <c r="K3" s="64"/>
    </row>
    <row r="4" spans="1:13" ht="15.6" x14ac:dyDescent="0.3">
      <c r="A4" s="66"/>
      <c r="B4" s="66"/>
      <c r="C4" s="1"/>
      <c r="D4" s="1"/>
      <c r="E4" s="2"/>
      <c r="F4" s="3"/>
      <c r="G4" s="3"/>
      <c r="H4" s="3"/>
      <c r="I4" s="3"/>
      <c r="J4" s="3"/>
    </row>
    <row r="5" spans="1:13" x14ac:dyDescent="0.3">
      <c r="A5" s="60" t="s">
        <v>11</v>
      </c>
      <c r="B5" s="60"/>
      <c r="C5" s="60" t="s">
        <v>20</v>
      </c>
      <c r="D5" s="60"/>
      <c r="E5" s="4" t="s">
        <v>176</v>
      </c>
      <c r="F5" s="67" t="s">
        <v>123</v>
      </c>
      <c r="G5" s="68"/>
      <c r="H5" s="68"/>
      <c r="I5" s="68"/>
      <c r="J5" s="8" t="s">
        <v>124</v>
      </c>
      <c r="K5" s="4" t="s">
        <v>20</v>
      </c>
    </row>
    <row r="6" spans="1:13" x14ac:dyDescent="0.3">
      <c r="A6" s="60" t="s">
        <v>12</v>
      </c>
      <c r="B6" s="60"/>
      <c r="C6" s="60" t="s">
        <v>21</v>
      </c>
      <c r="D6" s="60"/>
      <c r="E6" s="4"/>
      <c r="F6" s="67" t="s">
        <v>125</v>
      </c>
      <c r="G6" s="68"/>
      <c r="H6" s="68"/>
      <c r="I6" s="68"/>
      <c r="J6" s="8" t="s">
        <v>124</v>
      </c>
      <c r="K6" s="4" t="s">
        <v>21</v>
      </c>
    </row>
    <row r="7" spans="1:13" x14ac:dyDescent="0.3">
      <c r="A7" s="60" t="s">
        <v>13</v>
      </c>
      <c r="B7" s="60"/>
      <c r="C7" s="60" t="s">
        <v>22</v>
      </c>
      <c r="D7" s="60"/>
      <c r="E7" s="4"/>
      <c r="F7" s="61" t="s">
        <v>126</v>
      </c>
      <c r="G7" s="62"/>
      <c r="H7" s="62"/>
      <c r="I7" s="62"/>
      <c r="J7" s="8" t="s">
        <v>124</v>
      </c>
      <c r="K7" s="4" t="s">
        <v>22</v>
      </c>
    </row>
    <row r="8" spans="1:13" x14ac:dyDescent="0.3">
      <c r="A8" s="60" t="s">
        <v>14</v>
      </c>
      <c r="B8" s="60"/>
      <c r="C8" s="60" t="s">
        <v>23</v>
      </c>
      <c r="D8" s="60"/>
      <c r="E8" s="4"/>
      <c r="F8" s="67" t="s">
        <v>218</v>
      </c>
      <c r="G8" s="68"/>
      <c r="H8" s="68"/>
      <c r="I8" s="68"/>
      <c r="J8" s="8" t="s">
        <v>124</v>
      </c>
      <c r="K8" s="4" t="s">
        <v>23</v>
      </c>
    </row>
    <row r="9" spans="1:13" x14ac:dyDescent="0.3">
      <c r="A9" s="60" t="s">
        <v>15</v>
      </c>
      <c r="B9" s="60"/>
      <c r="C9" s="60" t="s">
        <v>24</v>
      </c>
      <c r="D9" s="60"/>
      <c r="E9" s="4"/>
      <c r="F9" s="61" t="s">
        <v>219</v>
      </c>
      <c r="G9" s="62"/>
      <c r="H9" s="62"/>
      <c r="I9" s="62"/>
      <c r="J9" s="8" t="s">
        <v>124</v>
      </c>
      <c r="K9" s="4" t="s">
        <v>24</v>
      </c>
    </row>
    <row r="10" spans="1:13" x14ac:dyDescent="0.3">
      <c r="A10" s="60" t="s">
        <v>16</v>
      </c>
      <c r="B10" s="60"/>
      <c r="C10" s="60" t="s">
        <v>25</v>
      </c>
      <c r="D10" s="60"/>
      <c r="E10" s="4" t="s">
        <v>171</v>
      </c>
      <c r="F10" s="61" t="s">
        <v>127</v>
      </c>
      <c r="G10" s="62"/>
      <c r="H10" s="62"/>
      <c r="I10" s="62"/>
      <c r="J10" s="8" t="s">
        <v>101</v>
      </c>
      <c r="K10" s="4" t="s">
        <v>25</v>
      </c>
    </row>
    <row r="11" spans="1:13" x14ac:dyDescent="0.3">
      <c r="A11" s="60" t="s">
        <v>17</v>
      </c>
      <c r="B11" s="60"/>
      <c r="C11" s="60" t="s">
        <v>26</v>
      </c>
      <c r="D11" s="60"/>
      <c r="E11" s="4" t="s">
        <v>172</v>
      </c>
      <c r="F11" s="61" t="s">
        <v>128</v>
      </c>
      <c r="G11" s="62"/>
      <c r="H11" s="62"/>
      <c r="I11" s="62"/>
      <c r="J11" s="8" t="s">
        <v>101</v>
      </c>
      <c r="K11" s="4" t="s">
        <v>26</v>
      </c>
    </row>
    <row r="12" spans="1:13" x14ac:dyDescent="0.3">
      <c r="A12" s="60" t="s">
        <v>18</v>
      </c>
      <c r="B12" s="60"/>
      <c r="C12" s="60" t="s">
        <v>27</v>
      </c>
      <c r="D12" s="60"/>
      <c r="E12" s="4" t="s">
        <v>173</v>
      </c>
      <c r="F12" s="61" t="s">
        <v>129</v>
      </c>
      <c r="G12" s="62"/>
      <c r="H12" s="62"/>
      <c r="I12" s="62"/>
      <c r="J12" s="8" t="s">
        <v>101</v>
      </c>
      <c r="K12" s="4" t="s">
        <v>27</v>
      </c>
    </row>
    <row r="13" spans="1:13" x14ac:dyDescent="0.3">
      <c r="A13" s="60" t="s">
        <v>19</v>
      </c>
      <c r="B13" s="60"/>
      <c r="C13" s="60" t="s">
        <v>28</v>
      </c>
      <c r="D13" s="60"/>
      <c r="E13" s="4" t="s">
        <v>175</v>
      </c>
      <c r="F13" s="61" t="s">
        <v>130</v>
      </c>
      <c r="G13" s="62"/>
      <c r="H13" s="62"/>
      <c r="I13" s="62"/>
      <c r="J13" s="8" t="s">
        <v>101</v>
      </c>
      <c r="K13" s="4" t="s">
        <v>28</v>
      </c>
    </row>
    <row r="14" spans="1:13" x14ac:dyDescent="0.3">
      <c r="A14" s="60" t="s">
        <v>67</v>
      </c>
      <c r="B14" s="60"/>
      <c r="C14" s="60" t="s">
        <v>53</v>
      </c>
      <c r="D14" s="60"/>
      <c r="E14" s="4" t="s">
        <v>177</v>
      </c>
      <c r="F14" s="61" t="s">
        <v>162</v>
      </c>
      <c r="G14" s="62"/>
      <c r="H14" s="62"/>
      <c r="I14" s="62"/>
      <c r="J14" s="8"/>
      <c r="K14" s="4" t="s">
        <v>53</v>
      </c>
    </row>
    <row r="15" spans="1:13" x14ac:dyDescent="0.3">
      <c r="A15" s="60" t="s">
        <v>68</v>
      </c>
      <c r="B15" s="60"/>
      <c r="C15" s="60" t="s">
        <v>54</v>
      </c>
      <c r="D15" s="60"/>
      <c r="E15" s="4" t="s">
        <v>178</v>
      </c>
      <c r="F15" s="61" t="s">
        <v>163</v>
      </c>
      <c r="G15" s="62"/>
      <c r="H15" s="62"/>
      <c r="I15" s="62"/>
      <c r="J15" s="8"/>
      <c r="K15" s="4" t="s">
        <v>54</v>
      </c>
    </row>
    <row r="16" spans="1:13" ht="31.2" customHeight="1" x14ac:dyDescent="0.3">
      <c r="A16" s="60" t="s">
        <v>69</v>
      </c>
      <c r="B16" s="60"/>
      <c r="C16" s="60" t="s">
        <v>55</v>
      </c>
      <c r="D16" s="60"/>
      <c r="E16" s="4" t="s">
        <v>179</v>
      </c>
      <c r="F16" s="61" t="s">
        <v>164</v>
      </c>
      <c r="G16" s="62"/>
      <c r="H16" s="62"/>
      <c r="I16" s="62"/>
      <c r="J16" s="8"/>
      <c r="K16" s="4" t="s">
        <v>55</v>
      </c>
      <c r="L16" s="58" t="s">
        <v>223</v>
      </c>
      <c r="M16" s="59"/>
    </row>
    <row r="17" spans="1:13" ht="30" customHeight="1" x14ac:dyDescent="0.3">
      <c r="A17" s="60" t="s">
        <v>70</v>
      </c>
      <c r="B17" s="60"/>
      <c r="C17" s="60" t="s">
        <v>56</v>
      </c>
      <c r="D17" s="60"/>
      <c r="E17" s="4" t="s">
        <v>180</v>
      </c>
      <c r="F17" s="61" t="s">
        <v>166</v>
      </c>
      <c r="G17" s="62"/>
      <c r="H17" s="62"/>
      <c r="I17" s="62"/>
      <c r="J17" s="8"/>
      <c r="K17" s="4" t="s">
        <v>56</v>
      </c>
      <c r="L17" s="58" t="s">
        <v>224</v>
      </c>
      <c r="M17" s="59"/>
    </row>
    <row r="18" spans="1:13" x14ac:dyDescent="0.3">
      <c r="A18" s="60" t="s">
        <v>71</v>
      </c>
      <c r="B18" s="60"/>
      <c r="C18" s="60" t="s">
        <v>57</v>
      </c>
      <c r="D18" s="60"/>
      <c r="E18" s="4" t="s">
        <v>181</v>
      </c>
      <c r="F18" s="61" t="s">
        <v>165</v>
      </c>
      <c r="G18" s="62"/>
      <c r="H18" s="62"/>
      <c r="I18" s="62"/>
      <c r="J18" s="8"/>
      <c r="K18" s="4" t="s">
        <v>57</v>
      </c>
    </row>
    <row r="19" spans="1:13" x14ac:dyDescent="0.3">
      <c r="A19" s="60" t="s">
        <v>107</v>
      </c>
      <c r="B19" s="60"/>
      <c r="C19" s="60" t="s">
        <v>108</v>
      </c>
      <c r="D19" s="60"/>
      <c r="E19" s="4"/>
      <c r="F19" s="61" t="s">
        <v>167</v>
      </c>
      <c r="G19" s="62"/>
      <c r="H19" s="62"/>
      <c r="I19" s="62"/>
      <c r="J19" s="8"/>
      <c r="K19" s="4" t="s">
        <v>108</v>
      </c>
    </row>
    <row r="20" spans="1:13" x14ac:dyDescent="0.3">
      <c r="A20" s="60" t="s">
        <v>109</v>
      </c>
      <c r="B20" s="60"/>
      <c r="C20" s="60" t="s">
        <v>110</v>
      </c>
      <c r="D20" s="60"/>
      <c r="E20" s="4"/>
      <c r="F20" s="61" t="s">
        <v>168</v>
      </c>
      <c r="G20" s="62"/>
      <c r="H20" s="62"/>
      <c r="I20" s="62"/>
      <c r="J20" s="8"/>
      <c r="K20" s="4" t="s">
        <v>110</v>
      </c>
    </row>
    <row r="21" spans="1:13" x14ac:dyDescent="0.3">
      <c r="A21" s="60" t="s">
        <v>111</v>
      </c>
      <c r="B21" s="60"/>
      <c r="C21" s="60" t="s">
        <v>112</v>
      </c>
      <c r="D21" s="60"/>
      <c r="E21" s="4"/>
      <c r="F21" s="61" t="s">
        <v>225</v>
      </c>
      <c r="G21" s="62"/>
      <c r="H21" s="62"/>
      <c r="I21" s="62"/>
      <c r="J21" s="8"/>
      <c r="K21" s="4" t="s">
        <v>112</v>
      </c>
    </row>
    <row r="22" spans="1:13" x14ac:dyDescent="0.3">
      <c r="A22" s="60" t="s">
        <v>113</v>
      </c>
      <c r="B22" s="60"/>
      <c r="C22" s="60" t="s">
        <v>114</v>
      </c>
      <c r="D22" s="60"/>
      <c r="E22" s="4"/>
      <c r="F22" s="61" t="s">
        <v>226</v>
      </c>
      <c r="G22" s="62"/>
      <c r="H22" s="62"/>
      <c r="I22" s="62"/>
      <c r="J22" s="8"/>
      <c r="K22" s="4" t="s">
        <v>114</v>
      </c>
    </row>
    <row r="23" spans="1:13" x14ac:dyDescent="0.3">
      <c r="A23" s="60" t="s">
        <v>115</v>
      </c>
      <c r="B23" s="60"/>
      <c r="C23" s="60" t="s">
        <v>116</v>
      </c>
      <c r="D23" s="60"/>
      <c r="E23" s="4"/>
      <c r="F23" s="61"/>
      <c r="G23" s="62"/>
      <c r="H23" s="62"/>
      <c r="I23" s="62"/>
      <c r="J23" s="8"/>
      <c r="K23" s="4" t="s">
        <v>116</v>
      </c>
    </row>
    <row r="24" spans="1:13" x14ac:dyDescent="0.3">
      <c r="A24" s="60" t="s">
        <v>117</v>
      </c>
      <c r="B24" s="60"/>
      <c r="C24" s="60" t="s">
        <v>118</v>
      </c>
      <c r="D24" s="60"/>
      <c r="E24" s="4"/>
      <c r="F24" s="61"/>
      <c r="G24" s="62"/>
      <c r="H24" s="62"/>
      <c r="I24" s="62"/>
      <c r="J24" s="8"/>
      <c r="K24" s="4" t="s">
        <v>118</v>
      </c>
    </row>
    <row r="25" spans="1:13" x14ac:dyDescent="0.3">
      <c r="A25" s="60" t="s">
        <v>119</v>
      </c>
      <c r="B25" s="60"/>
      <c r="C25" s="60" t="s">
        <v>120</v>
      </c>
      <c r="D25" s="60"/>
      <c r="E25" s="4"/>
      <c r="F25" s="61"/>
      <c r="G25" s="62"/>
      <c r="H25" s="62"/>
      <c r="I25" s="62"/>
      <c r="J25" s="8"/>
      <c r="K25" s="4" t="s">
        <v>120</v>
      </c>
    </row>
    <row r="26" spans="1:13" x14ac:dyDescent="0.3">
      <c r="A26" s="60" t="s">
        <v>121</v>
      </c>
      <c r="B26" s="60"/>
      <c r="C26" s="60" t="s">
        <v>122</v>
      </c>
      <c r="D26" s="60"/>
      <c r="E26" s="4"/>
      <c r="F26" s="61"/>
      <c r="G26" s="62"/>
      <c r="H26" s="62"/>
      <c r="I26" s="62"/>
      <c r="J26" s="8"/>
      <c r="K26" s="4" t="s">
        <v>122</v>
      </c>
    </row>
    <row r="27" spans="1:13" x14ac:dyDescent="0.3">
      <c r="A27" s="60" t="s">
        <v>214</v>
      </c>
      <c r="B27" s="60"/>
      <c r="C27" s="60" t="s">
        <v>122</v>
      </c>
      <c r="D27" s="60"/>
      <c r="E27" s="4"/>
      <c r="F27" s="61"/>
      <c r="G27" s="62"/>
      <c r="H27" s="62"/>
      <c r="I27" s="62"/>
      <c r="J27" s="8"/>
      <c r="K27" s="4" t="s">
        <v>216</v>
      </c>
    </row>
    <row r="28" spans="1:13" x14ac:dyDescent="0.3">
      <c r="A28" s="60" t="s">
        <v>215</v>
      </c>
      <c r="B28" s="60"/>
      <c r="C28" s="60" t="s">
        <v>122</v>
      </c>
      <c r="D28" s="60"/>
      <c r="E28" s="4"/>
      <c r="F28" s="61"/>
      <c r="G28" s="62"/>
      <c r="H28" s="62"/>
      <c r="I28" s="62"/>
      <c r="J28" s="8"/>
      <c r="K28" s="4" t="s">
        <v>217</v>
      </c>
    </row>
  </sheetData>
  <mergeCells count="81">
    <mergeCell ref="A25:B25"/>
    <mergeCell ref="C25:D25"/>
    <mergeCell ref="F25:I25"/>
    <mergeCell ref="A26:B26"/>
    <mergeCell ref="C26:D26"/>
    <mergeCell ref="F26:I26"/>
    <mergeCell ref="F22:I22"/>
    <mergeCell ref="A23:B23"/>
    <mergeCell ref="C23:D23"/>
    <mergeCell ref="F23:I23"/>
    <mergeCell ref="A24:B24"/>
    <mergeCell ref="C24:D24"/>
    <mergeCell ref="F24:I24"/>
    <mergeCell ref="F8:I8"/>
    <mergeCell ref="F9:I9"/>
    <mergeCell ref="A18:B18"/>
    <mergeCell ref="C18:D18"/>
    <mergeCell ref="F18:I18"/>
    <mergeCell ref="A17:B17"/>
    <mergeCell ref="C17:D17"/>
    <mergeCell ref="F10:I10"/>
    <mergeCell ref="F11:I11"/>
    <mergeCell ref="F12:I12"/>
    <mergeCell ref="F13:I13"/>
    <mergeCell ref="F14:I14"/>
    <mergeCell ref="F15:I15"/>
    <mergeCell ref="F16:I16"/>
    <mergeCell ref="F17:I17"/>
    <mergeCell ref="A14:B14"/>
    <mergeCell ref="C14:D14"/>
    <mergeCell ref="A15:B15"/>
    <mergeCell ref="C15:D15"/>
    <mergeCell ref="A16:B16"/>
    <mergeCell ref="C16:D16"/>
    <mergeCell ref="A8:B8"/>
    <mergeCell ref="C8:D8"/>
    <mergeCell ref="A4:B4"/>
    <mergeCell ref="A5:B5"/>
    <mergeCell ref="C5:D5"/>
    <mergeCell ref="A6:B6"/>
    <mergeCell ref="C6:D6"/>
    <mergeCell ref="A3:B3"/>
    <mergeCell ref="C3:D3"/>
    <mergeCell ref="F3:J3"/>
    <mergeCell ref="A7:B7"/>
    <mergeCell ref="C7:D7"/>
    <mergeCell ref="F5:I5"/>
    <mergeCell ref="F6:I6"/>
    <mergeCell ref="F7:I7"/>
    <mergeCell ref="A28:B28"/>
    <mergeCell ref="C28:D28"/>
    <mergeCell ref="F28:I28"/>
    <mergeCell ref="A1:M1"/>
    <mergeCell ref="A13:B13"/>
    <mergeCell ref="C13:D13"/>
    <mergeCell ref="A11:B11"/>
    <mergeCell ref="C11:D11"/>
    <mergeCell ref="A12:B12"/>
    <mergeCell ref="C12:D12"/>
    <mergeCell ref="A9:B9"/>
    <mergeCell ref="C9:D9"/>
    <mergeCell ref="A10:B10"/>
    <mergeCell ref="C10:D10"/>
    <mergeCell ref="E2:E3"/>
    <mergeCell ref="K2:K3"/>
    <mergeCell ref="L16:M16"/>
    <mergeCell ref="L17:M17"/>
    <mergeCell ref="A27:B27"/>
    <mergeCell ref="C27:D27"/>
    <mergeCell ref="F27:I27"/>
    <mergeCell ref="A19:B19"/>
    <mergeCell ref="C19:D19"/>
    <mergeCell ref="F19:I19"/>
    <mergeCell ref="A20:B20"/>
    <mergeCell ref="C20:D20"/>
    <mergeCell ref="F20:I20"/>
    <mergeCell ref="A21:B21"/>
    <mergeCell ref="C21:D21"/>
    <mergeCell ref="F21:I21"/>
    <mergeCell ref="A22:B22"/>
    <mergeCell ref="C22:D22"/>
  </mergeCells>
  <phoneticPr fontId="4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6116-8416-4633-B0B8-B812E57FA60C}">
  <dimension ref="A1:M19"/>
  <sheetViews>
    <sheetView tabSelected="1" workbookViewId="0">
      <selection activeCell="J22" sqref="J22"/>
    </sheetView>
  </sheetViews>
  <sheetFormatPr defaultColWidth="8.88671875" defaultRowHeight="14.4" x14ac:dyDescent="0.3"/>
  <cols>
    <col min="2" max="2" width="10.109375" customWidth="1"/>
    <col min="3" max="3" width="5.88671875" customWidth="1"/>
    <col min="4" max="4" width="6.21875" customWidth="1"/>
    <col min="5" max="5" width="12" customWidth="1"/>
    <col min="9" max="9" width="4.6640625" customWidth="1"/>
    <col min="10" max="10" width="17.44140625" customWidth="1"/>
    <col min="11" max="11" width="15.6640625" customWidth="1"/>
    <col min="12" max="12" width="15.5546875" customWidth="1"/>
    <col min="13" max="13" width="16.6640625" customWidth="1"/>
  </cols>
  <sheetData>
    <row r="1" spans="1:13" ht="23.4" x14ac:dyDescent="0.45">
      <c r="A1" s="63" t="s">
        <v>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3" x14ac:dyDescent="0.3">
      <c r="E2" s="64" t="s">
        <v>6</v>
      </c>
      <c r="K2" s="64" t="s">
        <v>7</v>
      </c>
      <c r="L2" s="64" t="s">
        <v>5</v>
      </c>
      <c r="M2" s="64" t="s">
        <v>5</v>
      </c>
    </row>
    <row r="3" spans="1:13" ht="15.6" x14ac:dyDescent="0.3">
      <c r="A3" s="65" t="s">
        <v>1</v>
      </c>
      <c r="B3" s="65"/>
      <c r="C3" s="65" t="s">
        <v>2</v>
      </c>
      <c r="D3" s="65"/>
      <c r="E3" s="64"/>
      <c r="F3" s="65" t="s">
        <v>3</v>
      </c>
      <c r="G3" s="65"/>
      <c r="H3" s="65"/>
      <c r="I3" s="65"/>
      <c r="J3" s="65"/>
      <c r="K3" s="64"/>
      <c r="L3" s="69"/>
      <c r="M3" s="69"/>
    </row>
    <row r="4" spans="1:13" x14ac:dyDescent="0.3">
      <c r="A4" s="60" t="s">
        <v>29</v>
      </c>
      <c r="B4" s="60"/>
      <c r="C4" s="60" t="s">
        <v>38</v>
      </c>
      <c r="D4" s="60"/>
      <c r="E4" s="4" t="s">
        <v>171</v>
      </c>
      <c r="F4" s="67" t="s">
        <v>221</v>
      </c>
      <c r="G4" s="68"/>
      <c r="H4" s="68"/>
      <c r="I4" s="68"/>
      <c r="J4" s="8" t="s">
        <v>101</v>
      </c>
      <c r="K4" s="8" t="s">
        <v>37</v>
      </c>
      <c r="L4" s="4" t="s">
        <v>45</v>
      </c>
    </row>
    <row r="5" spans="1:13" x14ac:dyDescent="0.3">
      <c r="A5" s="60" t="s">
        <v>31</v>
      </c>
      <c r="B5" s="60"/>
      <c r="C5" s="60" t="s">
        <v>39</v>
      </c>
      <c r="D5" s="60"/>
      <c r="E5" s="4" t="s">
        <v>171</v>
      </c>
      <c r="F5" s="67" t="s">
        <v>149</v>
      </c>
      <c r="G5" s="68"/>
      <c r="H5" s="68"/>
      <c r="I5" s="68"/>
      <c r="J5" s="8" t="s">
        <v>101</v>
      </c>
      <c r="K5" s="8" t="s">
        <v>37</v>
      </c>
      <c r="L5" s="4" t="s">
        <v>46</v>
      </c>
    </row>
    <row r="6" spans="1:13" x14ac:dyDescent="0.3">
      <c r="A6" s="60" t="s">
        <v>32</v>
      </c>
      <c r="B6" s="60"/>
      <c r="C6" s="60" t="s">
        <v>40</v>
      </c>
      <c r="D6" s="60"/>
      <c r="E6" s="4" t="s">
        <v>172</v>
      </c>
      <c r="F6" s="67" t="s">
        <v>153</v>
      </c>
      <c r="G6" s="68"/>
      <c r="H6" s="68"/>
      <c r="I6" s="68"/>
      <c r="J6" s="8" t="s">
        <v>101</v>
      </c>
      <c r="K6" s="8" t="s">
        <v>37</v>
      </c>
      <c r="L6" s="4" t="s">
        <v>47</v>
      </c>
    </row>
    <row r="7" spans="1:13" x14ac:dyDescent="0.3">
      <c r="A7" s="60" t="s">
        <v>33</v>
      </c>
      <c r="B7" s="60"/>
      <c r="C7" s="60" t="s">
        <v>41</v>
      </c>
      <c r="D7" s="60"/>
      <c r="E7" s="4" t="s">
        <v>172</v>
      </c>
      <c r="F7" s="67" t="s">
        <v>150</v>
      </c>
      <c r="G7" s="68"/>
      <c r="H7" s="68"/>
      <c r="I7" s="68"/>
      <c r="J7" s="8" t="s">
        <v>101</v>
      </c>
      <c r="K7" s="8" t="s">
        <v>37</v>
      </c>
      <c r="L7" s="4" t="s">
        <v>48</v>
      </c>
    </row>
    <row r="8" spans="1:13" x14ac:dyDescent="0.3">
      <c r="A8" s="60" t="s">
        <v>34</v>
      </c>
      <c r="B8" s="60"/>
      <c r="C8" s="60" t="s">
        <v>42</v>
      </c>
      <c r="D8" s="60"/>
      <c r="E8" s="4" t="s">
        <v>173</v>
      </c>
      <c r="F8" s="67" t="s">
        <v>154</v>
      </c>
      <c r="G8" s="68"/>
      <c r="H8" s="68"/>
      <c r="I8" s="68"/>
      <c r="J8" s="8" t="s">
        <v>101</v>
      </c>
      <c r="K8" s="8" t="s">
        <v>37</v>
      </c>
      <c r="L8" s="4" t="s">
        <v>49</v>
      </c>
    </row>
    <row r="9" spans="1:13" x14ac:dyDescent="0.3">
      <c r="A9" s="60" t="s">
        <v>35</v>
      </c>
      <c r="B9" s="60"/>
      <c r="C9" s="60" t="s">
        <v>43</v>
      </c>
      <c r="D9" s="60"/>
      <c r="E9" s="4" t="s">
        <v>174</v>
      </c>
      <c r="F9" s="67" t="s">
        <v>152</v>
      </c>
      <c r="G9" s="68"/>
      <c r="H9" s="68"/>
      <c r="I9" s="68"/>
      <c r="J9" s="8" t="s">
        <v>101</v>
      </c>
      <c r="K9" s="8" t="s">
        <v>37</v>
      </c>
      <c r="L9" s="4" t="s">
        <v>50</v>
      </c>
    </row>
    <row r="10" spans="1:13" x14ac:dyDescent="0.3">
      <c r="A10" s="60" t="s">
        <v>36</v>
      </c>
      <c r="B10" s="60"/>
      <c r="C10" s="60" t="s">
        <v>44</v>
      </c>
      <c r="D10" s="60"/>
      <c r="E10" s="9" t="s">
        <v>175</v>
      </c>
      <c r="F10" s="67" t="s">
        <v>155</v>
      </c>
      <c r="G10" s="68"/>
      <c r="H10" s="68"/>
      <c r="I10" s="68"/>
      <c r="J10" s="8" t="s">
        <v>101</v>
      </c>
      <c r="K10" s="8" t="s">
        <v>37</v>
      </c>
      <c r="L10" s="4" t="s">
        <v>51</v>
      </c>
    </row>
    <row r="11" spans="1:13" x14ac:dyDescent="0.3">
      <c r="A11" s="60" t="s">
        <v>64</v>
      </c>
      <c r="B11" s="60"/>
      <c r="C11" s="60" t="s">
        <v>58</v>
      </c>
      <c r="D11" s="60"/>
      <c r="E11" s="9" t="s">
        <v>175</v>
      </c>
      <c r="F11" s="67" t="s">
        <v>151</v>
      </c>
      <c r="G11" s="68"/>
      <c r="H11" s="68"/>
      <c r="I11" s="68"/>
      <c r="J11" s="8" t="s">
        <v>101</v>
      </c>
      <c r="K11" s="8" t="s">
        <v>37</v>
      </c>
      <c r="L11" s="4" t="s">
        <v>61</v>
      </c>
    </row>
    <row r="12" spans="1:13" x14ac:dyDescent="0.3">
      <c r="A12" s="60" t="s">
        <v>65</v>
      </c>
      <c r="B12" s="60"/>
      <c r="C12" s="60" t="s">
        <v>59</v>
      </c>
      <c r="D12" s="60"/>
      <c r="E12" s="9"/>
      <c r="F12" s="61" t="s">
        <v>158</v>
      </c>
      <c r="G12" s="62"/>
      <c r="H12" s="62"/>
      <c r="I12" s="62"/>
      <c r="J12" s="8" t="s">
        <v>159</v>
      </c>
      <c r="K12" s="8" t="s">
        <v>37</v>
      </c>
      <c r="L12" s="4" t="s">
        <v>62</v>
      </c>
    </row>
    <row r="13" spans="1:13" x14ac:dyDescent="0.3">
      <c r="A13" s="60" t="s">
        <v>66</v>
      </c>
      <c r="B13" s="60"/>
      <c r="C13" s="60" t="s">
        <v>60</v>
      </c>
      <c r="D13" s="60"/>
      <c r="E13" s="9"/>
      <c r="F13" s="61" t="s">
        <v>160</v>
      </c>
      <c r="G13" s="62"/>
      <c r="H13" s="62"/>
      <c r="I13" s="62"/>
      <c r="J13" s="8" t="s">
        <v>161</v>
      </c>
      <c r="K13" s="8" t="s">
        <v>37</v>
      </c>
      <c r="L13" s="4" t="s">
        <v>63</v>
      </c>
    </row>
    <row r="14" spans="1:13" x14ac:dyDescent="0.3">
      <c r="A14" s="60" t="s">
        <v>131</v>
      </c>
      <c r="B14" s="60"/>
      <c r="C14" s="60" t="s">
        <v>137</v>
      </c>
      <c r="D14" s="60"/>
      <c r="E14" s="9"/>
      <c r="F14" s="61" t="s">
        <v>156</v>
      </c>
      <c r="G14" s="62"/>
      <c r="H14" s="62"/>
      <c r="I14" s="62"/>
      <c r="J14" s="8" t="s">
        <v>157</v>
      </c>
      <c r="K14" s="8" t="s">
        <v>37</v>
      </c>
      <c r="L14" s="4" t="s">
        <v>143</v>
      </c>
    </row>
    <row r="15" spans="1:13" x14ac:dyDescent="0.3">
      <c r="A15" s="60" t="s">
        <v>132</v>
      </c>
      <c r="B15" s="60"/>
      <c r="C15" s="60" t="s">
        <v>138</v>
      </c>
      <c r="D15" s="60"/>
      <c r="E15" s="9"/>
      <c r="F15" s="61" t="s">
        <v>212</v>
      </c>
      <c r="G15" s="62"/>
      <c r="H15" s="62"/>
      <c r="I15" s="62"/>
      <c r="J15" s="8" t="s">
        <v>210</v>
      </c>
      <c r="K15" s="8" t="s">
        <v>37</v>
      </c>
      <c r="L15" s="4" t="s">
        <v>144</v>
      </c>
    </row>
    <row r="16" spans="1:13" x14ac:dyDescent="0.3">
      <c r="A16" s="60" t="s">
        <v>133</v>
      </c>
      <c r="B16" s="60"/>
      <c r="C16" s="60" t="s">
        <v>139</v>
      </c>
      <c r="D16" s="60"/>
      <c r="E16" s="9"/>
      <c r="F16" s="61" t="s">
        <v>213</v>
      </c>
      <c r="G16" s="62"/>
      <c r="H16" s="62"/>
      <c r="I16" s="62"/>
      <c r="J16" s="8" t="s">
        <v>211</v>
      </c>
      <c r="K16" s="8" t="s">
        <v>37</v>
      </c>
      <c r="L16" s="4" t="s">
        <v>145</v>
      </c>
    </row>
    <row r="17" spans="1:13" x14ac:dyDescent="0.3">
      <c r="A17" s="60" t="s">
        <v>134</v>
      </c>
      <c r="B17" s="60"/>
      <c r="C17" s="60" t="s">
        <v>140</v>
      </c>
      <c r="D17" s="60"/>
      <c r="E17" s="9"/>
      <c r="F17" s="61" t="s">
        <v>169</v>
      </c>
      <c r="G17" s="62"/>
      <c r="H17" s="62"/>
      <c r="I17" s="62"/>
      <c r="J17" s="8" t="s">
        <v>170</v>
      </c>
      <c r="K17" s="8" t="s">
        <v>37</v>
      </c>
      <c r="L17" s="4" t="s">
        <v>146</v>
      </c>
      <c r="M17" t="s">
        <v>222</v>
      </c>
    </row>
    <row r="18" spans="1:13" x14ac:dyDescent="0.3">
      <c r="A18" s="60" t="s">
        <v>135</v>
      </c>
      <c r="B18" s="60"/>
      <c r="C18" s="60" t="s">
        <v>141</v>
      </c>
      <c r="D18" s="60"/>
      <c r="E18" s="9"/>
      <c r="F18" s="61" t="s">
        <v>227</v>
      </c>
      <c r="G18" s="62"/>
      <c r="H18" s="62"/>
      <c r="I18" s="62"/>
      <c r="J18" s="8"/>
      <c r="K18" s="8" t="s">
        <v>37</v>
      </c>
      <c r="L18" s="4" t="s">
        <v>147</v>
      </c>
    </row>
    <row r="19" spans="1:13" x14ac:dyDescent="0.3">
      <c r="A19" s="60" t="s">
        <v>136</v>
      </c>
      <c r="B19" s="60"/>
      <c r="C19" s="60" t="s">
        <v>142</v>
      </c>
      <c r="D19" s="60"/>
      <c r="E19" s="9"/>
      <c r="F19" s="61" t="s">
        <v>220</v>
      </c>
      <c r="G19" s="62"/>
      <c r="H19" s="62"/>
      <c r="I19" s="62"/>
      <c r="J19" s="8"/>
      <c r="K19" s="8" t="s">
        <v>37</v>
      </c>
      <c r="L19" s="4" t="s">
        <v>148</v>
      </c>
    </row>
  </sheetData>
  <mergeCells count="56">
    <mergeCell ref="A1:L1"/>
    <mergeCell ref="A6:B6"/>
    <mergeCell ref="C6:D6"/>
    <mergeCell ref="F9:I9"/>
    <mergeCell ref="E2:E3"/>
    <mergeCell ref="L2:L3"/>
    <mergeCell ref="A3:B3"/>
    <mergeCell ref="C3:D3"/>
    <mergeCell ref="F3:J3"/>
    <mergeCell ref="K2:K3"/>
    <mergeCell ref="F5:I5"/>
    <mergeCell ref="F6:I6"/>
    <mergeCell ref="F4:I4"/>
    <mergeCell ref="A7:B7"/>
    <mergeCell ref="C7:D7"/>
    <mergeCell ref="A4:B4"/>
    <mergeCell ref="C4:D4"/>
    <mergeCell ref="F7:I7"/>
    <mergeCell ref="A5:B5"/>
    <mergeCell ref="C5:D5"/>
    <mergeCell ref="A12:B12"/>
    <mergeCell ref="C12:D12"/>
    <mergeCell ref="F11:I11"/>
    <mergeCell ref="F10:I10"/>
    <mergeCell ref="F8:I8"/>
    <mergeCell ref="A13:B13"/>
    <mergeCell ref="C13:D13"/>
    <mergeCell ref="A11:B11"/>
    <mergeCell ref="C11:D11"/>
    <mergeCell ref="A8:B8"/>
    <mergeCell ref="C8:D8"/>
    <mergeCell ref="A9:B9"/>
    <mergeCell ref="C9:D9"/>
    <mergeCell ref="A10:B10"/>
    <mergeCell ref="C10:D10"/>
    <mergeCell ref="A19:B19"/>
    <mergeCell ref="C14:D14"/>
    <mergeCell ref="C15:D15"/>
    <mergeCell ref="C16:D16"/>
    <mergeCell ref="C17:D17"/>
    <mergeCell ref="C18:D18"/>
    <mergeCell ref="C19:D19"/>
    <mergeCell ref="A14:B14"/>
    <mergeCell ref="A15:B15"/>
    <mergeCell ref="A16:B16"/>
    <mergeCell ref="A17:B17"/>
    <mergeCell ref="A18:B18"/>
    <mergeCell ref="M2:M3"/>
    <mergeCell ref="F19:I19"/>
    <mergeCell ref="F14:I14"/>
    <mergeCell ref="F15:I15"/>
    <mergeCell ref="F16:I16"/>
    <mergeCell ref="F17:I17"/>
    <mergeCell ref="F18:I18"/>
    <mergeCell ref="F13:I13"/>
    <mergeCell ref="F12:I12"/>
  </mergeCells>
  <phoneticPr fontId="4" type="noConversion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023A-E713-4042-9E75-7B31E70787F7}">
  <dimension ref="A1:K6"/>
  <sheetViews>
    <sheetView workbookViewId="0">
      <selection activeCell="D15" sqref="D15"/>
    </sheetView>
  </sheetViews>
  <sheetFormatPr defaultRowHeight="14.4" x14ac:dyDescent="0.3"/>
  <cols>
    <col min="1" max="3" width="9.109375" customWidth="1"/>
    <col min="5" max="5" width="15" customWidth="1"/>
    <col min="9" max="9" width="10.88671875" customWidth="1"/>
    <col min="10" max="10" width="19.5546875" customWidth="1"/>
    <col min="11" max="11" width="18.33203125" customWidth="1"/>
  </cols>
  <sheetData>
    <row r="1" spans="1:11" ht="23.4" x14ac:dyDescent="0.45">
      <c r="A1" s="63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x14ac:dyDescent="0.3">
      <c r="E2" s="64" t="s">
        <v>4</v>
      </c>
      <c r="K2" s="64" t="s">
        <v>0</v>
      </c>
    </row>
    <row r="3" spans="1:11" ht="15.6" x14ac:dyDescent="0.3">
      <c r="A3" s="65" t="s">
        <v>1</v>
      </c>
      <c r="B3" s="65"/>
      <c r="C3" s="65" t="s">
        <v>2</v>
      </c>
      <c r="D3" s="65"/>
      <c r="E3" s="64"/>
      <c r="F3" s="65" t="s">
        <v>3</v>
      </c>
      <c r="G3" s="65"/>
      <c r="H3" s="65"/>
      <c r="I3" s="65"/>
      <c r="J3" s="65"/>
      <c r="K3" s="64"/>
    </row>
    <row r="4" spans="1:11" ht="15.6" x14ac:dyDescent="0.3">
      <c r="A4" s="66"/>
      <c r="B4" s="66"/>
      <c r="C4" s="1"/>
      <c r="D4" s="1"/>
      <c r="E4" s="2"/>
      <c r="F4" s="3"/>
      <c r="G4" s="3"/>
      <c r="H4" s="3"/>
      <c r="I4" s="3"/>
      <c r="J4" s="3"/>
    </row>
    <row r="5" spans="1:11" ht="15" customHeight="1" x14ac:dyDescent="0.3">
      <c r="A5" s="60" t="s">
        <v>8</v>
      </c>
      <c r="B5" s="60"/>
      <c r="C5" s="60"/>
      <c r="D5" s="60"/>
      <c r="E5" s="9"/>
      <c r="F5" s="67"/>
      <c r="G5" s="68"/>
      <c r="H5" s="68"/>
      <c r="I5" s="68"/>
      <c r="J5" s="7"/>
      <c r="K5" s="4"/>
    </row>
    <row r="6" spans="1:11" x14ac:dyDescent="0.3">
      <c r="A6" s="60" t="s">
        <v>9</v>
      </c>
      <c r="B6" s="60"/>
      <c r="C6" s="60"/>
      <c r="D6" s="60"/>
      <c r="E6" s="9"/>
      <c r="F6" s="5"/>
      <c r="G6" s="6"/>
      <c r="H6" s="6"/>
      <c r="I6" s="6"/>
      <c r="J6" s="7"/>
      <c r="K6" s="4"/>
    </row>
  </sheetData>
  <mergeCells count="12">
    <mergeCell ref="A1:K1"/>
    <mergeCell ref="E2:E3"/>
    <mergeCell ref="K2:K3"/>
    <mergeCell ref="A3:B3"/>
    <mergeCell ref="C3:D3"/>
    <mergeCell ref="F3:J3"/>
    <mergeCell ref="F5:I5"/>
    <mergeCell ref="A4:B4"/>
    <mergeCell ref="A5:B5"/>
    <mergeCell ref="C5:D5"/>
    <mergeCell ref="A6:B6"/>
    <mergeCell ref="C6:D6"/>
  </mergeCells>
  <phoneticPr fontId="4" type="noConversion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8719-E53E-4C10-A132-61588D30701B}">
  <dimension ref="A1:K6"/>
  <sheetViews>
    <sheetView workbookViewId="0">
      <selection activeCell="E12" sqref="E12"/>
    </sheetView>
  </sheetViews>
  <sheetFormatPr defaultRowHeight="14.4" x14ac:dyDescent="0.3"/>
  <cols>
    <col min="1" max="3" width="9.109375" customWidth="1"/>
    <col min="5" max="5" width="15" customWidth="1"/>
    <col min="9" max="9" width="10.88671875" customWidth="1"/>
    <col min="10" max="10" width="19.5546875" customWidth="1"/>
    <col min="11" max="11" width="18.33203125" customWidth="1"/>
  </cols>
  <sheetData>
    <row r="1" spans="1:11" ht="23.4" x14ac:dyDescent="0.45">
      <c r="A1" s="63" t="s">
        <v>81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x14ac:dyDescent="0.3">
      <c r="E2" s="64" t="s">
        <v>4</v>
      </c>
      <c r="K2" s="64" t="s">
        <v>0</v>
      </c>
    </row>
    <row r="3" spans="1:11" ht="15.6" x14ac:dyDescent="0.3">
      <c r="A3" s="65" t="s">
        <v>1</v>
      </c>
      <c r="B3" s="65"/>
      <c r="C3" s="65" t="s">
        <v>2</v>
      </c>
      <c r="D3" s="65"/>
      <c r="E3" s="64"/>
      <c r="F3" s="65" t="s">
        <v>3</v>
      </c>
      <c r="G3" s="65"/>
      <c r="H3" s="65"/>
      <c r="I3" s="65"/>
      <c r="J3" s="65"/>
      <c r="K3" s="64"/>
    </row>
    <row r="4" spans="1:11" ht="15.6" x14ac:dyDescent="0.3">
      <c r="A4" s="66"/>
      <c r="B4" s="66"/>
      <c r="C4" s="1"/>
      <c r="D4" s="1"/>
      <c r="E4" s="2"/>
      <c r="F4" s="3"/>
      <c r="G4" s="3"/>
      <c r="H4" s="3"/>
      <c r="I4" s="3"/>
      <c r="J4" s="3"/>
    </row>
    <row r="5" spans="1:11" ht="15" customHeight="1" x14ac:dyDescent="0.3">
      <c r="A5" s="60" t="s">
        <v>82</v>
      </c>
      <c r="B5" s="60"/>
      <c r="C5" s="60"/>
      <c r="D5" s="60"/>
      <c r="E5" s="9"/>
      <c r="F5" s="67"/>
      <c r="G5" s="68"/>
      <c r="H5" s="68"/>
      <c r="I5" s="68"/>
      <c r="J5" s="7"/>
      <c r="K5" s="4"/>
    </row>
    <row r="6" spans="1:11" x14ac:dyDescent="0.3">
      <c r="A6" s="60" t="s">
        <v>83</v>
      </c>
      <c r="B6" s="60"/>
      <c r="C6" s="60"/>
      <c r="D6" s="60"/>
      <c r="E6" s="9"/>
      <c r="F6" s="5"/>
      <c r="G6" s="6"/>
      <c r="H6" s="6"/>
      <c r="I6" s="6"/>
      <c r="J6" s="7"/>
      <c r="K6" s="4"/>
    </row>
  </sheetData>
  <mergeCells count="12">
    <mergeCell ref="A4:B4"/>
    <mergeCell ref="A5:B5"/>
    <mergeCell ref="C5:D5"/>
    <mergeCell ref="F5:I5"/>
    <mergeCell ref="A6:B6"/>
    <mergeCell ref="C6:D6"/>
    <mergeCell ref="A1:K1"/>
    <mergeCell ref="E2:E3"/>
    <mergeCell ref="K2:K3"/>
    <mergeCell ref="A3:B3"/>
    <mergeCell ref="C3:D3"/>
    <mergeCell ref="F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2583-0A2F-43CE-AF1B-125B9C423BF8}">
  <dimension ref="A1:M26"/>
  <sheetViews>
    <sheetView workbookViewId="0">
      <selection activeCell="J13" sqref="J13"/>
    </sheetView>
  </sheetViews>
  <sheetFormatPr defaultColWidth="8.88671875" defaultRowHeight="14.4" x14ac:dyDescent="0.3"/>
  <cols>
    <col min="2" max="2" width="10.109375" customWidth="1"/>
    <col min="5" max="5" width="12" customWidth="1"/>
    <col min="10" max="10" width="20.6640625" customWidth="1"/>
    <col min="11" max="11" width="15.5546875" customWidth="1"/>
  </cols>
  <sheetData>
    <row r="1" spans="1:13" ht="23.4" x14ac:dyDescent="0.45">
      <c r="A1" s="63" t="s">
        <v>204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x14ac:dyDescent="0.3">
      <c r="E2" s="64" t="s">
        <v>6</v>
      </c>
      <c r="K2" s="64" t="s">
        <v>5</v>
      </c>
    </row>
    <row r="3" spans="1:13" ht="15.6" x14ac:dyDescent="0.3">
      <c r="A3" s="65" t="s">
        <v>1</v>
      </c>
      <c r="B3" s="65"/>
      <c r="C3" s="65"/>
      <c r="D3" s="65"/>
      <c r="E3" s="64"/>
      <c r="F3" s="65" t="s">
        <v>3</v>
      </c>
      <c r="G3" s="65"/>
      <c r="H3" s="65"/>
      <c r="I3" s="65"/>
      <c r="J3" s="65"/>
      <c r="K3" s="64"/>
    </row>
    <row r="4" spans="1:13" ht="15.6" x14ac:dyDescent="0.3">
      <c r="A4" s="66"/>
      <c r="B4" s="66"/>
      <c r="C4" s="1"/>
      <c r="D4" s="1"/>
      <c r="E4" s="2"/>
      <c r="F4" s="3"/>
      <c r="G4" s="3"/>
      <c r="H4" s="3"/>
      <c r="I4" s="3"/>
      <c r="J4" s="3"/>
    </row>
    <row r="5" spans="1:13" x14ac:dyDescent="0.3">
      <c r="A5" s="60" t="s">
        <v>182</v>
      </c>
      <c r="B5" s="60"/>
      <c r="C5" s="60"/>
      <c r="D5" s="60"/>
      <c r="E5" s="4" t="s">
        <v>171</v>
      </c>
      <c r="F5" s="67" t="s">
        <v>205</v>
      </c>
      <c r="G5" s="68"/>
      <c r="H5" s="68"/>
      <c r="I5" s="68"/>
      <c r="J5" s="8" t="s">
        <v>101</v>
      </c>
      <c r="K5" s="4"/>
    </row>
    <row r="6" spans="1:13" x14ac:dyDescent="0.3">
      <c r="A6" s="60" t="s">
        <v>183</v>
      </c>
      <c r="B6" s="60"/>
      <c r="C6" s="60"/>
      <c r="D6" s="60"/>
      <c r="E6" s="4" t="s">
        <v>172</v>
      </c>
      <c r="F6" s="67" t="s">
        <v>206</v>
      </c>
      <c r="G6" s="68"/>
      <c r="H6" s="68"/>
      <c r="I6" s="68"/>
      <c r="J6" s="8" t="s">
        <v>101</v>
      </c>
      <c r="K6" s="4"/>
    </row>
    <row r="7" spans="1:13" x14ac:dyDescent="0.3">
      <c r="A7" s="60" t="s">
        <v>184</v>
      </c>
      <c r="B7" s="60"/>
      <c r="C7" s="60"/>
      <c r="D7" s="60"/>
      <c r="E7" s="4" t="s">
        <v>173</v>
      </c>
      <c r="F7" s="67" t="s">
        <v>208</v>
      </c>
      <c r="G7" s="68"/>
      <c r="H7" s="68"/>
      <c r="I7" s="68"/>
      <c r="J7" s="8" t="s">
        <v>101</v>
      </c>
      <c r="K7" s="4"/>
    </row>
    <row r="8" spans="1:13" x14ac:dyDescent="0.3">
      <c r="A8" s="60" t="s">
        <v>185</v>
      </c>
      <c r="B8" s="60"/>
      <c r="C8" s="60"/>
      <c r="D8" s="60"/>
      <c r="E8" s="4" t="s">
        <v>173</v>
      </c>
      <c r="F8" s="67" t="s">
        <v>209</v>
      </c>
      <c r="G8" s="68"/>
      <c r="H8" s="68"/>
      <c r="I8" s="68"/>
      <c r="J8" s="8" t="s">
        <v>170</v>
      </c>
      <c r="K8" s="4"/>
    </row>
    <row r="9" spans="1:13" x14ac:dyDescent="0.3">
      <c r="A9" s="60" t="s">
        <v>186</v>
      </c>
      <c r="B9" s="60"/>
      <c r="C9" s="60"/>
      <c r="D9" s="60"/>
      <c r="E9" s="4" t="s">
        <v>175</v>
      </c>
      <c r="F9" s="67" t="s">
        <v>207</v>
      </c>
      <c r="G9" s="68"/>
      <c r="H9" s="68"/>
      <c r="I9" s="68"/>
      <c r="J9" s="8" t="s">
        <v>101</v>
      </c>
      <c r="K9" s="4"/>
    </row>
    <row r="10" spans="1:13" x14ac:dyDescent="0.3">
      <c r="A10" s="60" t="s">
        <v>187</v>
      </c>
      <c r="B10" s="60"/>
      <c r="C10" s="60"/>
      <c r="D10" s="60"/>
      <c r="E10" s="4"/>
      <c r="F10" s="67"/>
      <c r="G10" s="68"/>
      <c r="H10" s="68"/>
      <c r="I10" s="68"/>
      <c r="J10" s="8"/>
      <c r="K10" s="4"/>
    </row>
    <row r="11" spans="1:13" x14ac:dyDescent="0.3">
      <c r="A11" s="60" t="s">
        <v>188</v>
      </c>
      <c r="B11" s="60"/>
      <c r="C11" s="60"/>
      <c r="D11" s="60"/>
      <c r="E11" s="4"/>
      <c r="F11" s="61"/>
      <c r="G11" s="62"/>
      <c r="H11" s="62"/>
      <c r="I11" s="62"/>
      <c r="J11" s="8"/>
      <c r="K11" s="4"/>
    </row>
    <row r="12" spans="1:13" x14ac:dyDescent="0.3">
      <c r="A12" s="60" t="s">
        <v>189</v>
      </c>
      <c r="B12" s="60"/>
      <c r="C12" s="60"/>
      <c r="D12" s="60"/>
      <c r="E12" s="4"/>
      <c r="F12" s="61"/>
      <c r="G12" s="62"/>
      <c r="H12" s="62"/>
      <c r="I12" s="62"/>
      <c r="J12" s="8"/>
      <c r="K12" s="4"/>
    </row>
    <row r="13" spans="1:13" x14ac:dyDescent="0.3">
      <c r="A13" s="60" t="s">
        <v>190</v>
      </c>
      <c r="B13" s="60"/>
      <c r="C13" s="60"/>
      <c r="D13" s="60"/>
      <c r="E13" s="4"/>
      <c r="F13" s="61"/>
      <c r="G13" s="62"/>
      <c r="H13" s="62"/>
      <c r="I13" s="62"/>
      <c r="J13" s="8"/>
      <c r="K13" s="4"/>
    </row>
    <row r="14" spans="1:13" x14ac:dyDescent="0.3">
      <c r="A14" s="60" t="s">
        <v>191</v>
      </c>
      <c r="B14" s="60"/>
      <c r="C14" s="60"/>
      <c r="D14" s="60"/>
      <c r="E14" s="4"/>
      <c r="F14" s="61"/>
      <c r="G14" s="62"/>
      <c r="H14" s="62"/>
      <c r="I14" s="62"/>
      <c r="J14" s="8"/>
      <c r="K14" s="4"/>
    </row>
    <row r="15" spans="1:13" x14ac:dyDescent="0.3">
      <c r="A15" s="60" t="s">
        <v>192</v>
      </c>
      <c r="B15" s="60"/>
      <c r="C15" s="60"/>
      <c r="D15" s="60"/>
      <c r="E15" s="4"/>
      <c r="F15" s="61"/>
      <c r="G15" s="62"/>
      <c r="H15" s="62"/>
      <c r="I15" s="62"/>
      <c r="J15" s="8"/>
      <c r="K15" s="4"/>
    </row>
    <row r="16" spans="1:13" x14ac:dyDescent="0.3">
      <c r="A16" s="60" t="s">
        <v>193</v>
      </c>
      <c r="B16" s="60"/>
      <c r="C16" s="60"/>
      <c r="D16" s="60"/>
      <c r="E16" s="4"/>
      <c r="F16" s="61"/>
      <c r="G16" s="62"/>
      <c r="H16" s="62"/>
      <c r="I16" s="62"/>
      <c r="J16" s="8"/>
      <c r="K16" s="4"/>
    </row>
    <row r="17" spans="1:11" x14ac:dyDescent="0.3">
      <c r="A17" s="60" t="s">
        <v>194</v>
      </c>
      <c r="B17" s="60"/>
      <c r="C17" s="60"/>
      <c r="D17" s="60"/>
      <c r="E17" s="4"/>
      <c r="F17" s="61"/>
      <c r="G17" s="62"/>
      <c r="H17" s="62"/>
      <c r="I17" s="62"/>
      <c r="J17" s="8"/>
      <c r="K17" s="4"/>
    </row>
    <row r="18" spans="1:11" x14ac:dyDescent="0.3">
      <c r="A18" s="60" t="s">
        <v>195</v>
      </c>
      <c r="B18" s="60"/>
      <c r="C18" s="60"/>
      <c r="D18" s="60"/>
      <c r="E18" s="4"/>
      <c r="F18" s="61"/>
      <c r="G18" s="62"/>
      <c r="H18" s="62"/>
      <c r="I18" s="62"/>
      <c r="J18" s="8"/>
      <c r="K18" s="4"/>
    </row>
    <row r="19" spans="1:11" x14ac:dyDescent="0.3">
      <c r="A19" s="60" t="s">
        <v>196</v>
      </c>
      <c r="B19" s="60"/>
      <c r="C19" s="60"/>
      <c r="D19" s="60"/>
      <c r="E19" s="4"/>
      <c r="F19" s="61"/>
      <c r="G19" s="62"/>
      <c r="H19" s="62"/>
      <c r="I19" s="62"/>
      <c r="J19" s="8"/>
      <c r="K19" s="4"/>
    </row>
    <row r="20" spans="1:11" x14ac:dyDescent="0.3">
      <c r="A20" s="60" t="s">
        <v>197</v>
      </c>
      <c r="B20" s="60"/>
      <c r="C20" s="60"/>
      <c r="D20" s="60"/>
      <c r="E20" s="4"/>
      <c r="F20" s="61"/>
      <c r="G20" s="62"/>
      <c r="H20" s="62"/>
      <c r="I20" s="62"/>
      <c r="J20" s="8"/>
      <c r="K20" s="4"/>
    </row>
    <row r="21" spans="1:11" x14ac:dyDescent="0.3">
      <c r="A21" s="60" t="s">
        <v>198</v>
      </c>
      <c r="B21" s="60"/>
      <c r="C21" s="60"/>
      <c r="D21" s="60"/>
      <c r="E21" s="4"/>
      <c r="F21" s="61"/>
      <c r="G21" s="62"/>
      <c r="H21" s="62"/>
      <c r="I21" s="62"/>
      <c r="J21" s="8"/>
      <c r="K21" s="4"/>
    </row>
    <row r="22" spans="1:11" x14ac:dyDescent="0.3">
      <c r="A22" s="60" t="s">
        <v>199</v>
      </c>
      <c r="B22" s="60"/>
      <c r="C22" s="60"/>
      <c r="D22" s="60"/>
      <c r="E22" s="4"/>
      <c r="F22" s="61"/>
      <c r="G22" s="62"/>
      <c r="H22" s="62"/>
      <c r="I22" s="62"/>
      <c r="J22" s="8"/>
      <c r="K22" s="4"/>
    </row>
    <row r="23" spans="1:11" x14ac:dyDescent="0.3">
      <c r="A23" s="60" t="s">
        <v>200</v>
      </c>
      <c r="B23" s="60"/>
      <c r="C23" s="60"/>
      <c r="D23" s="60"/>
      <c r="E23" s="4"/>
      <c r="F23" s="61"/>
      <c r="G23" s="62"/>
      <c r="H23" s="62"/>
      <c r="I23" s="62"/>
      <c r="J23" s="8"/>
      <c r="K23" s="4"/>
    </row>
    <row r="24" spans="1:11" x14ac:dyDescent="0.3">
      <c r="A24" s="60" t="s">
        <v>201</v>
      </c>
      <c r="B24" s="60"/>
      <c r="C24" s="60"/>
      <c r="D24" s="60"/>
      <c r="E24" s="4"/>
      <c r="F24" s="61"/>
      <c r="G24" s="62"/>
      <c r="H24" s="62"/>
      <c r="I24" s="62"/>
      <c r="J24" s="8"/>
      <c r="K24" s="4"/>
    </row>
    <row r="25" spans="1:11" x14ac:dyDescent="0.3">
      <c r="A25" s="60" t="s">
        <v>202</v>
      </c>
      <c r="B25" s="60"/>
      <c r="C25" s="60"/>
      <c r="D25" s="60"/>
      <c r="E25" s="4"/>
      <c r="F25" s="61"/>
      <c r="G25" s="62"/>
      <c r="H25" s="62"/>
      <c r="I25" s="62"/>
      <c r="J25" s="8"/>
      <c r="K25" s="4"/>
    </row>
    <row r="26" spans="1:11" x14ac:dyDescent="0.3">
      <c r="A26" s="60" t="s">
        <v>203</v>
      </c>
      <c r="B26" s="60"/>
      <c r="C26" s="60"/>
      <c r="D26" s="60"/>
      <c r="E26" s="4"/>
      <c r="F26" s="61"/>
      <c r="G26" s="62"/>
      <c r="H26" s="62"/>
      <c r="I26" s="62"/>
      <c r="J26" s="8"/>
      <c r="K26" s="4"/>
    </row>
  </sheetData>
  <mergeCells count="73">
    <mergeCell ref="A1:M1"/>
    <mergeCell ref="E2:E3"/>
    <mergeCell ref="K2:K3"/>
    <mergeCell ref="A3:B3"/>
    <mergeCell ref="C3:D3"/>
    <mergeCell ref="F3:J3"/>
    <mergeCell ref="A4:B4"/>
    <mergeCell ref="A5:B5"/>
    <mergeCell ref="C5:D5"/>
    <mergeCell ref="F5:I5"/>
    <mergeCell ref="A6:B6"/>
    <mergeCell ref="C6:D6"/>
    <mergeCell ref="F6:I6"/>
    <mergeCell ref="A7:B7"/>
    <mergeCell ref="C7:D7"/>
    <mergeCell ref="F7:I7"/>
    <mergeCell ref="A8:B8"/>
    <mergeCell ref="C8:D8"/>
    <mergeCell ref="F8:I8"/>
    <mergeCell ref="A9:B9"/>
    <mergeCell ref="C9:D9"/>
    <mergeCell ref="F9:I9"/>
    <mergeCell ref="A10:B10"/>
    <mergeCell ref="C10:D10"/>
    <mergeCell ref="F10:I10"/>
    <mergeCell ref="A11:B11"/>
    <mergeCell ref="C11:D11"/>
    <mergeCell ref="F11:I11"/>
    <mergeCell ref="A12:B12"/>
    <mergeCell ref="C12:D12"/>
    <mergeCell ref="F12:I12"/>
    <mergeCell ref="A13:B13"/>
    <mergeCell ref="C13:D13"/>
    <mergeCell ref="F13:I13"/>
    <mergeCell ref="A14:B14"/>
    <mergeCell ref="C14:D14"/>
    <mergeCell ref="F14:I14"/>
    <mergeCell ref="A15:B15"/>
    <mergeCell ref="C15:D15"/>
    <mergeCell ref="F15:I15"/>
    <mergeCell ref="A16:B16"/>
    <mergeCell ref="C16:D16"/>
    <mergeCell ref="F16:I16"/>
    <mergeCell ref="A17:B17"/>
    <mergeCell ref="C17:D17"/>
    <mergeCell ref="F17:I17"/>
    <mergeCell ref="A18:B18"/>
    <mergeCell ref="C18:D18"/>
    <mergeCell ref="F18:I18"/>
    <mergeCell ref="A19:B19"/>
    <mergeCell ref="C19:D19"/>
    <mergeCell ref="F19:I19"/>
    <mergeCell ref="A20:B20"/>
    <mergeCell ref="C20:D20"/>
    <mergeCell ref="F20:I20"/>
    <mergeCell ref="A21:B21"/>
    <mergeCell ref="C21:D21"/>
    <mergeCell ref="F21:I21"/>
    <mergeCell ref="A22:B22"/>
    <mergeCell ref="C22:D22"/>
    <mergeCell ref="F22:I22"/>
    <mergeCell ref="A23:B23"/>
    <mergeCell ref="C23:D23"/>
    <mergeCell ref="F23:I23"/>
    <mergeCell ref="A24:B24"/>
    <mergeCell ref="C24:D24"/>
    <mergeCell ref="F24:I24"/>
    <mergeCell ref="A25:B25"/>
    <mergeCell ref="C25:D25"/>
    <mergeCell ref="F25:I25"/>
    <mergeCell ref="A26:B26"/>
    <mergeCell ref="C26:D26"/>
    <mergeCell ref="F26:I2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Motors &amp; Instrument List </vt:lpstr>
      <vt:lpstr>Digital Inputs</vt:lpstr>
      <vt:lpstr>Digital Outputs</vt:lpstr>
      <vt:lpstr>Analog Inputs</vt:lpstr>
      <vt:lpstr>Analog Overload</vt:lpstr>
      <vt:lpstr>INTERNAL 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SPG_Tech</dc:creator>
  <cp:lastModifiedBy>SPG_Tech</cp:lastModifiedBy>
  <cp:lastPrinted>2023-07-24T07:04:17Z</cp:lastPrinted>
  <dcterms:created xsi:type="dcterms:W3CDTF">2020-11-12T11:13:17Z</dcterms:created>
  <dcterms:modified xsi:type="dcterms:W3CDTF">2023-08-03T10:36:12Z</dcterms:modified>
</cp:coreProperties>
</file>